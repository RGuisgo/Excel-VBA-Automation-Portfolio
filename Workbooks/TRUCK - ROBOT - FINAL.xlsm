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acros\"/>
    </mc:Choice>
  </mc:AlternateContent>
  <xr:revisionPtr revIDLastSave="0" documentId="13_ncr:1_{0387DABC-F51A-4D07-8ADE-45C5FAA799E2}" xr6:coauthVersionLast="47" xr6:coauthVersionMax="47" xr10:uidLastSave="{00000000-0000-0000-0000-000000000000}"/>
  <bookViews>
    <workbookView xWindow="-120" yWindow="-120" windowWidth="19770" windowHeight="11760" activeTab="1" xr2:uid="{00000000-000D-0000-FFFF-FFFF00000000}"/>
  </bookViews>
  <sheets>
    <sheet name="ControlPanel" sheetId="4" r:id="rId1"/>
    <sheet name="MM" sheetId="23" r:id="rId2"/>
    <sheet name="FI" sheetId="17" r:id="rId3"/>
    <sheet name="Index" sheetId="20" r:id="rId4"/>
    <sheet name="Code" sheetId="18" r:id="rId5"/>
    <sheet name="INPUT original" sheetId="3" state="hidden" r:id="rId6"/>
  </sheets>
  <functionGroups builtInGroupCount="19"/>
  <definedNames>
    <definedName name="_xlnm._FilterDatabase" localSheetId="2" hidden="1">FI!$A$1:$P$1</definedName>
    <definedName name="_xlnm._FilterDatabase" localSheetId="3" hidden="1">Index!$A$1:$L$25</definedName>
    <definedName name="_xlnm._FilterDatabase" localSheetId="1" hidden="1">MM!$A$1:$P$25</definedName>
    <definedName name="ProfitC" localSheetId="3">#REF!</definedName>
    <definedName name="Profit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3" l="1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4" i="23"/>
  <c r="C3" i="23"/>
  <c r="C2" i="23"/>
</calcChain>
</file>

<file path=xl/sharedStrings.xml><?xml version="1.0" encoding="utf-8"?>
<sst xmlns="http://schemas.openxmlformats.org/spreadsheetml/2006/main" count="301" uniqueCount="139">
  <si>
    <t>Z005</t>
  </si>
  <si>
    <t>USD</t>
  </si>
  <si>
    <t>JMOLNAR</t>
  </si>
  <si>
    <t>InvoiceReference</t>
  </si>
  <si>
    <t>CompanyCode</t>
  </si>
  <si>
    <t>Vendor</t>
  </si>
  <si>
    <t>Plant</t>
  </si>
  <si>
    <t>InvoiceDate</t>
  </si>
  <si>
    <t>InvoiceReceiptDate</t>
  </si>
  <si>
    <t>BaseLineDate</t>
  </si>
  <si>
    <t>PaymentTerm</t>
  </si>
  <si>
    <t>GrossAmount</t>
  </si>
  <si>
    <t>Currency</t>
  </si>
  <si>
    <t>BusinessUnitUserID</t>
  </si>
  <si>
    <t>BasicText</t>
  </si>
  <si>
    <t>GLAcct</t>
  </si>
  <si>
    <t>CostCenter</t>
  </si>
  <si>
    <t>Amount</t>
  </si>
  <si>
    <t>Quantity</t>
  </si>
  <si>
    <t>Material</t>
  </si>
  <si>
    <t>LineItemText</t>
  </si>
  <si>
    <t>TaxCode</t>
  </si>
  <si>
    <t>BusArea</t>
  </si>
  <si>
    <t>ProfitCenter</t>
  </si>
  <si>
    <t>TaxJurisd</t>
  </si>
  <si>
    <t>LineCompanyCode</t>
  </si>
  <si>
    <t>TEST123</t>
  </si>
  <si>
    <t>TEST</t>
  </si>
  <si>
    <t>I1</t>
  </si>
  <si>
    <t>0102</t>
  </si>
  <si>
    <t>Dresden</t>
  </si>
  <si>
    <t>Hartsmandorff</t>
  </si>
  <si>
    <t>Rostock</t>
  </si>
  <si>
    <t>0N22</t>
  </si>
  <si>
    <t>Hanau</t>
  </si>
  <si>
    <t>Hannover</t>
  </si>
  <si>
    <t>101380/101381</t>
  </si>
  <si>
    <t>151602/152259</t>
  </si>
  <si>
    <t>Diesel</t>
  </si>
  <si>
    <t>101415/101428/152384</t>
  </si>
  <si>
    <t>Heizoel</t>
  </si>
  <si>
    <t>0553</t>
  </si>
  <si>
    <t>0600</t>
  </si>
  <si>
    <t>0633</t>
  </si>
  <si>
    <t>0639</t>
  </si>
  <si>
    <t>0598</t>
  </si>
  <si>
    <t>Plant Name</t>
  </si>
  <si>
    <t>Code</t>
  </si>
  <si>
    <t>Leuna / TRM Refinery</t>
  </si>
  <si>
    <t>Material Name</t>
  </si>
  <si>
    <t>Super Vol and Tel</t>
  </si>
  <si>
    <t>Super E10</t>
  </si>
  <si>
    <t>Super Plus</t>
  </si>
  <si>
    <t>101387/101392</t>
  </si>
  <si>
    <t>150769</t>
  </si>
  <si>
    <t>G/L Account:</t>
  </si>
  <si>
    <t>DP Doc. ID</t>
  </si>
  <si>
    <t>Basic</t>
  </si>
  <si>
    <t>Reference</t>
  </si>
  <si>
    <t>Refinery</t>
  </si>
  <si>
    <t>Net amount</t>
  </si>
  <si>
    <t>PO amount</t>
  </si>
  <si>
    <t>Difference</t>
  </si>
  <si>
    <t>Posting</t>
  </si>
  <si>
    <t>TOTALENERGIES MARKETING</t>
  </si>
  <si>
    <t>1.148.263,89</t>
  </si>
  <si>
    <t>1.246.551,07</t>
  </si>
  <si>
    <t>Super Vol</t>
  </si>
  <si>
    <t>1.476.588,51</t>
  </si>
  <si>
    <t>000003890226</t>
  </si>
  <si>
    <t>108.060,76</t>
  </si>
  <si>
    <t>000003890195</t>
  </si>
  <si>
    <t>130.824,55</t>
  </si>
  <si>
    <t>000003890219</t>
  </si>
  <si>
    <t>2.149.881,32</t>
  </si>
  <si>
    <t>000003890212</t>
  </si>
  <si>
    <t>2.494.300,25</t>
  </si>
  <si>
    <t>000003890220</t>
  </si>
  <si>
    <t>249.133,33</t>
  </si>
  <si>
    <t>diesel tei</t>
  </si>
  <si>
    <t>000003889124</t>
  </si>
  <si>
    <t>1.195.061,49</t>
  </si>
  <si>
    <t>000003889129</t>
  </si>
  <si>
    <t>180.455,90</t>
  </si>
  <si>
    <t>000003889146</t>
  </si>
  <si>
    <t>19.835,63</t>
  </si>
  <si>
    <t>000003889125</t>
  </si>
  <si>
    <t>23.681,94</t>
  </si>
  <si>
    <t>000003889148</t>
  </si>
  <si>
    <t>233.486,13</t>
  </si>
  <si>
    <t>000003889121</t>
  </si>
  <si>
    <t>270.072,61</t>
  </si>
  <si>
    <t>000003889138</t>
  </si>
  <si>
    <t>3.607.458,12</t>
  </si>
  <si>
    <t>000003889122</t>
  </si>
  <si>
    <t>35.161,23</t>
  </si>
  <si>
    <t>000003889143</t>
  </si>
  <si>
    <t>377.268,26</t>
  </si>
  <si>
    <t>000003889103</t>
  </si>
  <si>
    <t>38.160,49</t>
  </si>
  <si>
    <t>4.511.675,10</t>
  </si>
  <si>
    <t>000003889133</t>
  </si>
  <si>
    <t>656.682,04</t>
  </si>
  <si>
    <t>000003889094</t>
  </si>
  <si>
    <t>719.466,29</t>
  </si>
  <si>
    <t>000003889123</t>
  </si>
  <si>
    <t>805.585,84</t>
  </si>
  <si>
    <t>000003889142</t>
  </si>
  <si>
    <t>81.400,69</t>
  </si>
  <si>
    <t>000003889135</t>
  </si>
  <si>
    <t>83.924,05</t>
  </si>
  <si>
    <t>000002717465</t>
  </si>
  <si>
    <t>000003433818</t>
  </si>
  <si>
    <t>000003632388</t>
  </si>
  <si>
    <t>000003889154</t>
  </si>
  <si>
    <t xml:space="preserve">Material </t>
  </si>
  <si>
    <t xml:space="preserve"> TRM Refinery</t>
  </si>
  <si>
    <t>DocType</t>
  </si>
  <si>
    <t>MM</t>
  </si>
  <si>
    <t>FI</t>
  </si>
  <si>
    <t>BaselineDate</t>
  </si>
  <si>
    <t>501034</t>
  </si>
  <si>
    <t>StartDate</t>
  </si>
  <si>
    <t>EndDate</t>
  </si>
  <si>
    <t>1</t>
  </si>
  <si>
    <t>No.</t>
  </si>
  <si>
    <t>Text</t>
  </si>
  <si>
    <t>2</t>
  </si>
  <si>
    <t>WIContent</t>
  </si>
  <si>
    <t>3</t>
  </si>
  <si>
    <t>05/17/2024</t>
  </si>
  <si>
    <t>04/01/2024</t>
  </si>
  <si>
    <t>04/30/2024</t>
  </si>
  <si>
    <t>429.017,99</t>
  </si>
  <si>
    <t>000003968271</t>
  </si>
  <si>
    <t>000003968322</t>
  </si>
  <si>
    <t>000003968305</t>
  </si>
  <si>
    <t>SuperE10</t>
  </si>
  <si>
    <t>NetAmount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</si>
</sst>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.mm\.yyyy"/>
    <numFmt numFmtId="166" formatCode="ddmmyy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164" fontId="4" fillId="0" borderId="0" applyFont="0" applyFill="0" applyBorder="0" applyAlignment="0" applyProtection="0"/>
    <xf numFmtId="0" fontId="10" fillId="0" borderId="0"/>
  </cellStyleXfs>
  <cellXfs count="53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1" xfId="0" quotePrefix="1" applyBorder="1"/>
    <xf numFmtId="14" fontId="0" fillId="0" borderId="1" xfId="0" applyNumberFormat="1" applyBorder="1"/>
    <xf numFmtId="0" fontId="0" fillId="3" borderId="1" xfId="0" applyFill="1" applyBorder="1"/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1" fontId="7" fillId="4" borderId="1" xfId="0" applyNumberFormat="1" applyFont="1" applyFill="1" applyBorder="1" applyAlignment="1">
      <alignment horizontal="left"/>
    </xf>
    <xf numFmtId="165" fontId="7" fillId="4" borderId="1" xfId="0" applyNumberFormat="1" applyFont="1" applyFill="1" applyBorder="1" applyAlignment="1">
      <alignment horizontal="left"/>
    </xf>
    <xf numFmtId="164" fontId="7" fillId="4" borderId="1" xfId="2" applyFont="1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7" fillId="4" borderId="1" xfId="2" applyNumberFormat="1" applyFont="1" applyFill="1" applyBorder="1" applyAlignment="1">
      <alignment horizontal="left"/>
    </xf>
    <xf numFmtId="0" fontId="2" fillId="0" borderId="1" xfId="2" applyNumberFormat="1" applyFont="1" applyBorder="1" applyAlignment="1">
      <alignment horizontal="center"/>
    </xf>
    <xf numFmtId="164" fontId="2" fillId="0" borderId="1" xfId="2" applyFont="1" applyBorder="1" applyAlignment="1">
      <alignment horizontal="center"/>
    </xf>
    <xf numFmtId="0" fontId="2" fillId="0" borderId="1" xfId="0" applyFont="1" applyBorder="1"/>
    <xf numFmtId="166" fontId="7" fillId="4" borderId="1" xfId="0" applyNumberFormat="1" applyFont="1" applyFill="1" applyBorder="1" applyAlignment="1">
      <alignment horizontal="left"/>
    </xf>
    <xf numFmtId="2" fontId="7" fillId="4" borderId="1" xfId="0" applyNumberFormat="1" applyFont="1" applyFill="1" applyBorder="1" applyAlignment="1">
      <alignment horizontal="left"/>
    </xf>
    <xf numFmtId="49" fontId="7" fillId="4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/>
    </xf>
    <xf numFmtId="164" fontId="2" fillId="0" borderId="1" xfId="2" applyFont="1" applyFill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2" fillId="0" borderId="1" xfId="2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4" fontId="7" fillId="4" borderId="1" xfId="2" applyNumberFormat="1" applyFont="1" applyFill="1" applyBorder="1" applyAlignment="1">
      <alignment horizontal="left"/>
    </xf>
    <xf numFmtId="4" fontId="2" fillId="0" borderId="1" xfId="2" applyNumberFormat="1" applyFont="1" applyFill="1" applyBorder="1" applyAlignment="1">
      <alignment horizontal="right"/>
    </xf>
    <xf numFmtId="4" fontId="2" fillId="0" borderId="1" xfId="2" applyNumberFormat="1" applyFont="1" applyBorder="1" applyAlignment="1">
      <alignment horizontal="right"/>
    </xf>
    <xf numFmtId="18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5" fillId="0" borderId="0" xfId="0" applyFont="1"/>
    <xf numFmtId="49" fontId="5" fillId="0" borderId="0" xfId="0" applyNumberFormat="1" applyFont="1"/>
    <xf numFmtId="49" fontId="9" fillId="4" borderId="1" xfId="0" applyNumberFormat="1" applyFont="1" applyFill="1" applyBorder="1" applyAlignment="1">
      <alignment horizontal="left" vertical="center"/>
    </xf>
    <xf numFmtId="49" fontId="9" fillId="4" borderId="1" xfId="2" applyNumberFormat="1" applyFont="1" applyFill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2" fillId="0" borderId="1" xfId="0" quotePrefix="1" applyNumberFormat="1" applyFont="1" applyBorder="1" applyAlignment="1">
      <alignment horizontal="center"/>
    </xf>
    <xf numFmtId="4" fontId="0" fillId="0" borderId="0" xfId="0" applyNumberFormat="1"/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49" fontId="0" fillId="5" borderId="0" xfId="0" applyNumberFormat="1" applyFill="1"/>
    <xf numFmtId="0" fontId="0" fillId="5" borderId="0" xfId="0" applyFill="1"/>
    <xf numFmtId="49" fontId="2" fillId="5" borderId="1" xfId="0" applyNumberFormat="1" applyFont="1" applyFill="1" applyBorder="1" applyAlignment="1">
      <alignment horizontal="center"/>
    </xf>
    <xf numFmtId="0" fontId="2" fillId="0" borderId="1" xfId="0" quotePrefix="1" applyNumberFormat="1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</cellXfs>
  <cellStyles count="4">
    <cellStyle name="Comma" xfId="2" builtinId="3"/>
    <cellStyle name="Normal" xfId="0" builtinId="0"/>
    <cellStyle name="Normal 2" xfId="3" xr:uid="{00000000-0005-0000-0000-000002000000}"/>
    <cellStyle name="Normal 2 2" xfId="1" xr:uid="{00000000-0005-0000-0000-000003000000}"/>
  </cellStyles>
  <dxfs count="0"/>
  <tableStyles count="0" defaultTableStyle="TableStyleMedium2" defaultPivotStyle="PivotStyleLight16"/>
  <colors>
    <mruColors>
      <color rgb="FFCC00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1142999</xdr:colOff>
      <xdr:row>3</xdr:row>
      <xdr:rowOff>133350</xdr:rowOff>
    </xdr:from>
    <xdr:to>
      <xdr:col>5</xdr:col>
      <xdr:colOff>406400</xdr:colOff>
      <xdr:row>20</xdr:row>
      <xdr:rowOff>169689</xdr:rowOff>
    </xdr:to>
    <xdr:pic macro="[0]!RunCode">
      <xdr:nvPicPr>
        <xdr:cNvPr id="4" name="Graphic 3" descr="Truck with solid fill">
          <a:extLst>
            <a:ext uri="{FF2B5EF4-FFF2-40B4-BE49-F238E27FC236}">
              <a16:creationId xmlns:a16="http://schemas.microsoft.com/office/drawing/2014/main" id="{1015EE7E-9637-0C23-66AA-6241439BD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2999" y="676275"/>
          <a:ext cx="3009901" cy="311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>
      <selection activeCell="E8" sqref="E8"/>
    </sheetView>
  </sheetViews>
  <sheetFormatPr defaultRowHeight="15" x14ac:dyDescent="0.25"/>
  <cols>
    <col min="1" max="1" width="18.5703125" bestFit="1" customWidth="1"/>
    <col min="2" max="2" width="9.140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25"/>
  <sheetViews>
    <sheetView tabSelected="1" workbookViewId="0">
      <selection activeCell="H8" sqref="H8"/>
    </sheetView>
  </sheetViews>
  <sheetFormatPr defaultColWidth="8.85546875" defaultRowHeight="15" x14ac:dyDescent="0.25"/>
  <cols>
    <col min="1" max="1" width="6.28515625" style="41" bestFit="1" customWidth="1"/>
    <col min="2" max="2" width="14" style="41" bestFit="1" customWidth="1"/>
    <col min="3" max="3" width="43" style="43" bestFit="1" customWidth="1"/>
    <col min="4" max="4" width="9.42578125" style="41" bestFit="1" customWidth="1"/>
    <col min="5" max="5" width="11.140625" style="41" bestFit="1" customWidth="1"/>
    <col min="6" max="6" width="10.28515625" style="41" bestFit="1" customWidth="1"/>
    <col min="7" max="7" width="13.140625" style="41" bestFit="1" customWidth="1"/>
    <col min="8" max="8" width="25.28515625" style="41" bestFit="1" customWidth="1"/>
    <col min="9" max="9" width="11.5703125" style="41" bestFit="1" customWidth="1"/>
    <col min="10" max="10" width="11.7109375" style="41" bestFit="1" customWidth="1"/>
    <col min="11" max="11" width="10.28515625" style="41" bestFit="1" customWidth="1"/>
    <col min="12" max="12" width="10.7109375" style="41" bestFit="1" customWidth="1"/>
    <col min="13" max="13" width="7.5703125" style="41" bestFit="1" customWidth="1"/>
    <col min="14" max="14" width="13.28515625" style="41" bestFit="1" customWidth="1"/>
    <col min="15" max="15" width="12.7109375" style="41" bestFit="1" customWidth="1"/>
    <col min="16" max="16" width="11.85546875" style="41" bestFit="1" customWidth="1"/>
    <col min="17" max="17" width="8.28515625" style="41" bestFit="1" customWidth="1"/>
    <col min="18" max="16384" width="8.85546875" style="41"/>
  </cols>
  <sheetData>
    <row r="1" spans="1:22" s="40" customFormat="1" x14ac:dyDescent="0.25">
      <c r="A1" s="38" t="s">
        <v>125</v>
      </c>
      <c r="B1" s="38" t="s">
        <v>120</v>
      </c>
      <c r="C1" s="42" t="s">
        <v>126</v>
      </c>
      <c r="D1" s="38" t="s">
        <v>5</v>
      </c>
      <c r="E1" s="38" t="s">
        <v>122</v>
      </c>
      <c r="F1" s="38" t="s">
        <v>123</v>
      </c>
      <c r="G1" s="38" t="s">
        <v>128</v>
      </c>
      <c r="H1" s="38" t="s">
        <v>14</v>
      </c>
      <c r="I1" s="39" t="s">
        <v>17</v>
      </c>
      <c r="J1" s="39" t="s">
        <v>58</v>
      </c>
      <c r="K1" s="38" t="s">
        <v>59</v>
      </c>
      <c r="L1" s="38" t="s">
        <v>115</v>
      </c>
      <c r="M1" s="38" t="s">
        <v>6</v>
      </c>
      <c r="N1" s="39" t="s">
        <v>138</v>
      </c>
      <c r="O1" s="38" t="s">
        <v>61</v>
      </c>
      <c r="P1" s="38" t="s">
        <v>62</v>
      </c>
      <c r="Q1" s="38" t="s">
        <v>117</v>
      </c>
      <c r="R1" s="38"/>
      <c r="S1" s="38"/>
      <c r="T1" s="38"/>
      <c r="U1" s="38"/>
      <c r="V1" s="38"/>
    </row>
    <row r="2" spans="1:22" s="46" customFormat="1" x14ac:dyDescent="0.25">
      <c r="A2" s="46" t="s">
        <v>124</v>
      </c>
      <c r="B2" s="46" t="s">
        <v>130</v>
      </c>
      <c r="C2" s="47" t="str">
        <f>"HC" &amp;" - "&amp;J2&amp;" - "&amp;K2&amp;" "&amp;L2&amp;" "&amp;M2</f>
        <v>HC - 2320768015 -  TRM Refinery SuperE10 0639</v>
      </c>
      <c r="D2" s="46" t="s">
        <v>121</v>
      </c>
      <c r="E2" s="46" t="s">
        <v>131</v>
      </c>
      <c r="F2" s="46" t="s">
        <v>132</v>
      </c>
      <c r="G2" s="48" t="s">
        <v>134</v>
      </c>
      <c r="H2" s="49" t="s">
        <v>64</v>
      </c>
      <c r="I2" s="49" t="s">
        <v>133</v>
      </c>
      <c r="J2" s="49">
        <v>2320768015</v>
      </c>
      <c r="K2" s="49" t="s">
        <v>116</v>
      </c>
      <c r="L2" s="49" t="s">
        <v>137</v>
      </c>
      <c r="M2" s="48" t="s">
        <v>44</v>
      </c>
      <c r="N2" s="49"/>
      <c r="O2" s="49"/>
      <c r="P2" s="49"/>
      <c r="Q2" s="49" t="s">
        <v>118</v>
      </c>
      <c r="R2" s="50"/>
    </row>
    <row r="3" spans="1:22" x14ac:dyDescent="0.25">
      <c r="A3" s="41" t="s">
        <v>127</v>
      </c>
      <c r="B3" s="41" t="s">
        <v>130</v>
      </c>
      <c r="C3" s="43" t="str">
        <f>"HC" &amp;" - "&amp;J3&amp;" - "&amp;K3&amp;" "&amp;L3&amp;" "&amp;M3</f>
        <v>HC - 2320768197 -  TRM Refinery SuperE10 0639</v>
      </c>
      <c r="D3" s="41" t="s">
        <v>121</v>
      </c>
      <c r="E3" s="41" t="s">
        <v>131</v>
      </c>
      <c r="F3" s="41" t="s">
        <v>132</v>
      </c>
      <c r="G3" s="34" t="s">
        <v>135</v>
      </c>
      <c r="H3" t="s">
        <v>64</v>
      </c>
      <c r="I3" s="45">
        <v>298534.24</v>
      </c>
      <c r="J3">
        <v>2320768197</v>
      </c>
      <c r="K3" t="s">
        <v>116</v>
      </c>
      <c r="L3" t="s">
        <v>137</v>
      </c>
      <c r="M3" s="34" t="s">
        <v>44</v>
      </c>
      <c r="N3" s="45">
        <v>298534.24</v>
      </c>
      <c r="O3"/>
      <c r="P3"/>
      <c r="Q3" t="s">
        <v>119</v>
      </c>
      <c r="R3" s="27"/>
    </row>
    <row r="4" spans="1:22" x14ac:dyDescent="0.25">
      <c r="A4" s="41" t="s">
        <v>129</v>
      </c>
      <c r="B4" s="41" t="s">
        <v>130</v>
      </c>
      <c r="C4" s="43" t="str">
        <f>"HC" &amp;" - "&amp;J4&amp;" - "&amp;K4&amp;" "&amp;L4&amp;" "&amp;M4</f>
        <v>HC - 2320768235 -  TRM Refinery SuperE10 0639</v>
      </c>
      <c r="D4" s="41" t="s">
        <v>121</v>
      </c>
      <c r="E4" s="41" t="s">
        <v>131</v>
      </c>
      <c r="F4" s="41" t="s">
        <v>132</v>
      </c>
      <c r="G4" s="34" t="s">
        <v>136</v>
      </c>
      <c r="H4" t="s">
        <v>64</v>
      </c>
      <c r="I4" s="45">
        <v>87223.56</v>
      </c>
      <c r="J4">
        <v>2320768235</v>
      </c>
      <c r="K4" t="s">
        <v>116</v>
      </c>
      <c r="L4" t="s">
        <v>137</v>
      </c>
      <c r="M4" s="34" t="s">
        <v>44</v>
      </c>
      <c r="N4" s="45">
        <v>87223.56</v>
      </c>
      <c r="O4"/>
      <c r="P4"/>
      <c r="Q4" t="s">
        <v>119</v>
      </c>
      <c r="R4" s="27"/>
    </row>
    <row r="5" spans="1:22" x14ac:dyDescent="0.25">
      <c r="C5" s="43" t="str">
        <f t="shared" ref="C5:C21" si="0">"HC" &amp;" - "&amp;J5&amp;" - "&amp;K5&amp;" "&amp;L5&amp;" "&amp;M5</f>
        <v xml:space="preserve">HC -  -   </v>
      </c>
      <c r="G5" s="27"/>
      <c r="H5" s="9"/>
      <c r="I5" s="22"/>
      <c r="J5" s="22"/>
      <c r="K5" s="7"/>
      <c r="L5" s="8"/>
      <c r="M5" s="8"/>
      <c r="N5" s="7"/>
      <c r="O5" s="32"/>
      <c r="P5" s="17"/>
      <c r="Q5" s="7"/>
      <c r="R5" s="27"/>
    </row>
    <row r="6" spans="1:22" x14ac:dyDescent="0.25">
      <c r="C6" s="43" t="str">
        <f t="shared" si="0"/>
        <v xml:space="preserve">HC -  -   </v>
      </c>
      <c r="G6" s="27"/>
      <c r="H6" s="9"/>
      <c r="I6" s="22"/>
      <c r="J6" s="22"/>
      <c r="K6" s="7"/>
      <c r="L6" s="8"/>
      <c r="M6" s="8"/>
      <c r="N6" s="7"/>
      <c r="O6" s="32"/>
      <c r="P6" s="17"/>
      <c r="Q6" s="7"/>
      <c r="R6" s="27"/>
    </row>
    <row r="7" spans="1:22" x14ac:dyDescent="0.25">
      <c r="C7" s="43" t="str">
        <f t="shared" si="0"/>
        <v xml:space="preserve">HC -  -   </v>
      </c>
      <c r="G7" s="27"/>
      <c r="H7" s="9"/>
      <c r="I7" s="22"/>
      <c r="J7" s="22"/>
      <c r="K7" s="7"/>
      <c r="L7" s="8"/>
      <c r="M7" s="8"/>
      <c r="N7" s="7"/>
      <c r="O7" s="32"/>
      <c r="P7" s="17"/>
      <c r="Q7" s="7"/>
      <c r="R7" s="27"/>
    </row>
    <row r="8" spans="1:22" x14ac:dyDescent="0.25">
      <c r="C8" s="43" t="str">
        <f t="shared" si="0"/>
        <v xml:space="preserve">HC -  -   </v>
      </c>
      <c r="G8" s="27"/>
      <c r="H8" s="9"/>
      <c r="I8" s="22"/>
      <c r="J8" s="22"/>
      <c r="K8" s="7"/>
      <c r="L8" s="8"/>
      <c r="M8" s="8"/>
      <c r="N8" s="7"/>
      <c r="O8" s="32"/>
      <c r="P8" s="17"/>
      <c r="Q8" s="7"/>
      <c r="R8" s="27"/>
    </row>
    <row r="9" spans="1:22" x14ac:dyDescent="0.25">
      <c r="C9" s="43" t="str">
        <f t="shared" si="0"/>
        <v xml:space="preserve">HC -  -   </v>
      </c>
      <c r="G9" s="27"/>
      <c r="H9" s="9"/>
      <c r="I9" s="22"/>
      <c r="J9" s="22"/>
      <c r="K9" s="7"/>
      <c r="L9" s="8"/>
      <c r="M9" s="8"/>
      <c r="N9" s="7"/>
      <c r="O9" s="32"/>
      <c r="P9" s="17"/>
      <c r="Q9" s="7"/>
      <c r="R9" s="27"/>
    </row>
    <row r="10" spans="1:22" x14ac:dyDescent="0.25">
      <c r="C10" s="43" t="str">
        <f t="shared" si="0"/>
        <v xml:space="preserve">HC -  -   </v>
      </c>
      <c r="G10" s="27"/>
      <c r="H10" s="9"/>
      <c r="I10" s="22"/>
      <c r="J10" s="22"/>
      <c r="K10" s="7"/>
      <c r="L10" s="8"/>
      <c r="M10" s="8"/>
      <c r="N10" s="7"/>
      <c r="O10" s="32"/>
      <c r="P10" s="17"/>
      <c r="Q10" s="7"/>
      <c r="R10" s="27"/>
    </row>
    <row r="11" spans="1:22" x14ac:dyDescent="0.25">
      <c r="C11" s="43" t="str">
        <f t="shared" si="0"/>
        <v xml:space="preserve">HC -  -   </v>
      </c>
      <c r="G11" s="27"/>
      <c r="H11" s="9"/>
      <c r="I11" s="22"/>
      <c r="J11" s="22"/>
      <c r="K11" s="7"/>
      <c r="L11" s="8"/>
      <c r="M11" s="8"/>
      <c r="N11" s="7"/>
      <c r="O11" s="32"/>
      <c r="P11" s="17"/>
      <c r="Q11" s="7"/>
      <c r="R11" s="27"/>
    </row>
    <row r="12" spans="1:22" x14ac:dyDescent="0.25">
      <c r="C12" s="43" t="str">
        <f t="shared" si="0"/>
        <v xml:space="preserve">HC -  -   </v>
      </c>
      <c r="G12" s="27"/>
      <c r="H12" s="9"/>
      <c r="I12" s="22"/>
      <c r="J12" s="22"/>
      <c r="K12" s="7"/>
      <c r="L12" s="25"/>
      <c r="M12" s="25"/>
      <c r="N12" s="7"/>
      <c r="O12" s="31"/>
      <c r="P12" s="26"/>
      <c r="Q12" s="27"/>
      <c r="R12" s="27"/>
    </row>
    <row r="13" spans="1:22" x14ac:dyDescent="0.25">
      <c r="C13" s="43" t="str">
        <f t="shared" si="0"/>
        <v xml:space="preserve">HC -  -   </v>
      </c>
      <c r="G13" s="27"/>
      <c r="H13" s="9"/>
      <c r="I13" s="22"/>
      <c r="J13" s="22"/>
      <c r="K13" s="7"/>
      <c r="L13" s="8"/>
      <c r="M13" s="8"/>
      <c r="N13" s="7"/>
      <c r="O13" s="32"/>
      <c r="P13" s="17"/>
      <c r="Q13" s="7"/>
      <c r="R13" s="27"/>
    </row>
    <row r="14" spans="1:22" x14ac:dyDescent="0.25">
      <c r="C14" s="43" t="str">
        <f t="shared" si="0"/>
        <v xml:space="preserve">HC -  -   </v>
      </c>
      <c r="G14" s="44"/>
      <c r="H14" s="9"/>
      <c r="I14" s="22"/>
      <c r="J14" s="22"/>
      <c r="K14" s="7"/>
      <c r="L14" s="8"/>
      <c r="M14" s="8"/>
      <c r="N14" s="7"/>
      <c r="O14" s="32"/>
      <c r="P14" s="17"/>
      <c r="Q14" s="7"/>
      <c r="R14" s="27"/>
    </row>
    <row r="15" spans="1:22" x14ac:dyDescent="0.25">
      <c r="C15" s="43" t="str">
        <f t="shared" si="0"/>
        <v xml:space="preserve">HC -  -   </v>
      </c>
      <c r="G15" s="27"/>
      <c r="H15" s="9"/>
      <c r="I15" s="22"/>
      <c r="J15" s="22"/>
      <c r="K15" s="7"/>
      <c r="L15" s="8"/>
      <c r="M15" s="8"/>
      <c r="N15" s="7"/>
      <c r="O15" s="32"/>
      <c r="P15" s="17"/>
      <c r="Q15" s="7"/>
      <c r="R15" s="27"/>
    </row>
    <row r="16" spans="1:22" x14ac:dyDescent="0.25">
      <c r="C16" s="43" t="str">
        <f t="shared" si="0"/>
        <v xml:space="preserve">HC -  -   </v>
      </c>
      <c r="G16" s="27"/>
      <c r="H16" s="9"/>
      <c r="I16" s="22"/>
      <c r="J16" s="22"/>
      <c r="K16" s="7"/>
      <c r="L16" s="8"/>
      <c r="M16" s="8"/>
      <c r="N16" s="7"/>
      <c r="O16" s="32"/>
      <c r="P16" s="17"/>
      <c r="Q16" s="7"/>
      <c r="R16" s="27"/>
    </row>
    <row r="17" spans="3:18" x14ac:dyDescent="0.25">
      <c r="C17" s="43" t="str">
        <f t="shared" si="0"/>
        <v xml:space="preserve">HC -  -   </v>
      </c>
      <c r="G17" s="44"/>
      <c r="H17" s="9"/>
      <c r="I17" s="22"/>
      <c r="J17" s="22"/>
      <c r="K17" s="7"/>
      <c r="L17" s="25"/>
      <c r="M17" s="25"/>
      <c r="N17" s="7"/>
      <c r="O17" s="31"/>
      <c r="P17" s="26"/>
      <c r="Q17" s="27"/>
      <c r="R17" s="27"/>
    </row>
    <row r="18" spans="3:18" x14ac:dyDescent="0.25">
      <c r="C18" s="43" t="str">
        <f t="shared" si="0"/>
        <v xml:space="preserve">HC -  -   </v>
      </c>
      <c r="G18" s="44"/>
      <c r="H18" s="9"/>
      <c r="I18" s="22"/>
      <c r="J18" s="22"/>
      <c r="K18" s="7"/>
      <c r="L18" s="25"/>
      <c r="M18" s="25"/>
      <c r="N18" s="7"/>
      <c r="O18" s="31"/>
      <c r="P18" s="26"/>
      <c r="Q18" s="27"/>
      <c r="R18" s="27"/>
    </row>
    <row r="19" spans="3:18" x14ac:dyDescent="0.25">
      <c r="C19" s="43" t="str">
        <f t="shared" si="0"/>
        <v xml:space="preserve">HC -  -   </v>
      </c>
      <c r="G19" s="27"/>
      <c r="H19" s="9"/>
      <c r="I19" s="22"/>
      <c r="J19" s="22"/>
      <c r="K19" s="7"/>
      <c r="L19" s="8"/>
      <c r="M19" s="8"/>
      <c r="N19" s="7"/>
      <c r="O19" s="32"/>
      <c r="P19" s="17"/>
      <c r="Q19" s="7"/>
      <c r="R19" s="27"/>
    </row>
    <row r="20" spans="3:18" x14ac:dyDescent="0.25">
      <c r="C20" s="43" t="str">
        <f t="shared" si="0"/>
        <v xml:space="preserve">HC -  -   </v>
      </c>
      <c r="G20" s="27"/>
      <c r="H20" s="9"/>
      <c r="I20" s="22"/>
      <c r="J20" s="22"/>
      <c r="K20" s="7"/>
      <c r="L20" s="25"/>
      <c r="M20" s="25"/>
      <c r="N20" s="7"/>
      <c r="O20" s="31"/>
      <c r="P20" s="26"/>
      <c r="Q20" s="27"/>
      <c r="R20" s="27"/>
    </row>
    <row r="21" spans="3:18" x14ac:dyDescent="0.25">
      <c r="C21" s="43" t="str">
        <f t="shared" si="0"/>
        <v xml:space="preserve">HC -  -   </v>
      </c>
      <c r="G21" s="27"/>
      <c r="H21" s="9"/>
      <c r="I21" s="22"/>
      <c r="J21" s="22"/>
      <c r="K21" s="7"/>
      <c r="L21" s="25"/>
      <c r="M21" s="25"/>
      <c r="N21" s="7"/>
      <c r="O21" s="31"/>
      <c r="P21" s="26"/>
      <c r="Q21" s="27"/>
      <c r="R21" s="27"/>
    </row>
    <row r="22" spans="3:18" x14ac:dyDescent="0.25">
      <c r="G22" s="27"/>
      <c r="H22" s="9"/>
      <c r="I22" s="22"/>
      <c r="J22" s="22"/>
      <c r="K22" s="7"/>
      <c r="L22" s="8"/>
      <c r="M22" s="8"/>
      <c r="N22" s="7"/>
      <c r="O22" s="32"/>
      <c r="P22" s="17"/>
      <c r="Q22" s="7"/>
      <c r="R22" s="27"/>
    </row>
    <row r="23" spans="3:18" x14ac:dyDescent="0.25">
      <c r="G23" s="27"/>
      <c r="H23" s="9"/>
      <c r="I23" s="22"/>
      <c r="J23" s="22"/>
      <c r="K23" s="7"/>
      <c r="L23" s="25"/>
      <c r="M23" s="25"/>
      <c r="N23" s="7"/>
      <c r="O23" s="31"/>
      <c r="P23" s="26"/>
      <c r="Q23" s="27"/>
      <c r="R23" s="27"/>
    </row>
    <row r="24" spans="3:18" x14ac:dyDescent="0.25">
      <c r="G24" s="27"/>
      <c r="H24" s="9"/>
      <c r="I24" s="22"/>
      <c r="J24" s="22"/>
      <c r="K24" s="7"/>
      <c r="L24" s="25"/>
      <c r="M24" s="25"/>
      <c r="N24" s="7"/>
      <c r="O24" s="31"/>
      <c r="P24" s="26"/>
      <c r="Q24" s="27"/>
      <c r="R24" s="27"/>
    </row>
    <row r="25" spans="3:18" x14ac:dyDescent="0.25">
      <c r="G25" s="27"/>
      <c r="H25" s="9"/>
      <c r="I25" s="22"/>
      <c r="J25" s="22"/>
      <c r="K25" s="7"/>
      <c r="L25" s="8"/>
      <c r="M25" s="8"/>
      <c r="N25" s="7"/>
      <c r="O25" s="32"/>
      <c r="P25" s="17"/>
      <c r="Q25" s="7"/>
      <c r="R25" s="27"/>
    </row>
  </sheetData>
  <autoFilter ref="A1:P25" xr:uid="{00000000-0009-0000-0000-000001000000}">
    <sortState xmlns:xlrd2="http://schemas.microsoft.com/office/spreadsheetml/2017/richdata2" ref="A2:P25">
      <sortCondition ref="A1:A25"/>
    </sortState>
  </autoFilter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9"/>
  <sheetViews>
    <sheetView zoomScale="71" workbookViewId="0">
      <selection activeCell="D13" sqref="D13"/>
    </sheetView>
  </sheetViews>
  <sheetFormatPr defaultColWidth="8.85546875" defaultRowHeight="15" x14ac:dyDescent="0.25"/>
  <cols>
    <col min="1" max="1" width="6.28515625" style="41" bestFit="1" customWidth="1"/>
    <col min="2" max="2" width="14" style="41" bestFit="1" customWidth="1"/>
    <col min="3" max="3" width="41.28515625" style="43" bestFit="1" customWidth="1"/>
    <col min="4" max="4" width="9.42578125" style="41" bestFit="1" customWidth="1"/>
    <col min="5" max="5" width="11.140625" style="41" bestFit="1" customWidth="1"/>
    <col min="6" max="6" width="10.28515625" style="41" bestFit="1" customWidth="1"/>
    <col min="7" max="7" width="13.140625" style="41" bestFit="1" customWidth="1"/>
    <col min="8" max="8" width="25.28515625" style="41" bestFit="1" customWidth="1"/>
    <col min="9" max="9" width="11.5703125" style="41" bestFit="1" customWidth="1"/>
    <col min="10" max="10" width="11.7109375" style="41" bestFit="1" customWidth="1"/>
    <col min="11" max="11" width="10.28515625" style="41" bestFit="1" customWidth="1"/>
    <col min="12" max="12" width="10.7109375" style="41" bestFit="1" customWidth="1"/>
    <col min="13" max="13" width="7.5703125" style="41" bestFit="1" customWidth="1"/>
    <col min="14" max="14" width="13.28515625" style="41" bestFit="1" customWidth="1"/>
    <col min="15" max="15" width="12.7109375" style="41" bestFit="1" customWidth="1"/>
    <col min="16" max="16" width="11.85546875" style="41" bestFit="1" customWidth="1"/>
    <col min="17" max="17" width="8.28515625" style="41" bestFit="1" customWidth="1"/>
    <col min="18" max="16384" width="8.85546875" style="41"/>
  </cols>
  <sheetData>
    <row r="1" spans="1:22" s="40" customFormat="1" x14ac:dyDescent="0.25">
      <c r="A1" s="38" t="s">
        <v>125</v>
      </c>
      <c r="B1" s="38" t="s">
        <v>120</v>
      </c>
      <c r="C1" s="42" t="s">
        <v>126</v>
      </c>
      <c r="D1" s="38" t="s">
        <v>5</v>
      </c>
      <c r="E1" s="38" t="s">
        <v>122</v>
      </c>
      <c r="F1" s="38" t="s">
        <v>123</v>
      </c>
      <c r="G1" s="38" t="s">
        <v>128</v>
      </c>
      <c r="H1" s="38" t="s">
        <v>14</v>
      </c>
      <c r="I1" s="39" t="s">
        <v>17</v>
      </c>
      <c r="J1" s="39" t="s">
        <v>58</v>
      </c>
      <c r="K1" s="38" t="s">
        <v>59</v>
      </c>
      <c r="L1" s="38" t="s">
        <v>115</v>
      </c>
      <c r="M1" s="38" t="s">
        <v>6</v>
      </c>
      <c r="N1" s="39" t="s">
        <v>138</v>
      </c>
      <c r="O1" s="38" t="s">
        <v>61</v>
      </c>
      <c r="P1" s="38" t="s">
        <v>62</v>
      </c>
      <c r="Q1" s="38" t="s">
        <v>117</v>
      </c>
      <c r="R1" s="38"/>
      <c r="S1" s="38"/>
      <c r="T1" s="38"/>
      <c r="U1" s="38"/>
      <c r="V1" s="38"/>
    </row>
    <row r="2" spans="1:22" x14ac:dyDescent="0.25">
      <c r="C2" s="43" t="str">
        <f t="shared" ref="C2:C29" si="0">"HC" &amp;" - "&amp;J2&amp;" - "&amp;K2&amp;" "&amp;L2&amp;" "&amp;M2</f>
        <v xml:space="preserve">HC -  -   </v>
      </c>
    </row>
    <row r="3" spans="1:22" x14ac:dyDescent="0.25">
      <c r="C3" s="43" t="str">
        <f t="shared" si="0"/>
        <v xml:space="preserve">HC -  -   </v>
      </c>
    </row>
    <row r="4" spans="1:22" x14ac:dyDescent="0.25">
      <c r="C4" s="43" t="str">
        <f t="shared" si="0"/>
        <v xml:space="preserve">HC -  -   </v>
      </c>
    </row>
    <row r="5" spans="1:22" x14ac:dyDescent="0.25">
      <c r="C5" s="43" t="str">
        <f t="shared" si="0"/>
        <v xml:space="preserve">HC -  -   </v>
      </c>
    </row>
    <row r="6" spans="1:22" x14ac:dyDescent="0.25">
      <c r="C6" s="43" t="str">
        <f t="shared" si="0"/>
        <v xml:space="preserve">HC -  -   </v>
      </c>
    </row>
    <row r="7" spans="1:22" x14ac:dyDescent="0.25">
      <c r="C7" s="43" t="str">
        <f t="shared" si="0"/>
        <v xml:space="preserve">HC -  -   </v>
      </c>
    </row>
    <row r="8" spans="1:22" x14ac:dyDescent="0.25">
      <c r="C8" s="43" t="str">
        <f t="shared" si="0"/>
        <v xml:space="preserve">HC -  -   </v>
      </c>
    </row>
    <row r="9" spans="1:22" x14ac:dyDescent="0.25">
      <c r="C9" s="43" t="str">
        <f t="shared" si="0"/>
        <v xml:space="preserve">HC -  -   </v>
      </c>
    </row>
    <row r="10" spans="1:22" x14ac:dyDescent="0.25">
      <c r="C10" s="43" t="str">
        <f t="shared" si="0"/>
        <v xml:space="preserve">HC -  -   </v>
      </c>
    </row>
    <row r="11" spans="1:22" x14ac:dyDescent="0.25">
      <c r="C11" s="43" t="str">
        <f t="shared" si="0"/>
        <v xml:space="preserve">HC -  -   </v>
      </c>
    </row>
    <row r="12" spans="1:22" x14ac:dyDescent="0.25">
      <c r="C12" s="43" t="str">
        <f t="shared" si="0"/>
        <v xml:space="preserve">HC -  -   </v>
      </c>
    </row>
    <row r="13" spans="1:22" x14ac:dyDescent="0.25">
      <c r="C13" s="43" t="str">
        <f t="shared" si="0"/>
        <v xml:space="preserve">HC -  -   </v>
      </c>
    </row>
    <row r="14" spans="1:22" x14ac:dyDescent="0.25">
      <c r="C14" s="43" t="str">
        <f t="shared" si="0"/>
        <v xml:space="preserve">HC -  -   </v>
      </c>
    </row>
    <row r="15" spans="1:22" x14ac:dyDescent="0.25">
      <c r="C15" s="43" t="str">
        <f t="shared" si="0"/>
        <v xml:space="preserve">HC -  -   </v>
      </c>
    </row>
    <row r="16" spans="1:22" x14ac:dyDescent="0.25">
      <c r="C16" s="43" t="str">
        <f t="shared" si="0"/>
        <v xml:space="preserve">HC -  -   </v>
      </c>
    </row>
    <row r="17" spans="3:3" x14ac:dyDescent="0.25">
      <c r="C17" s="43" t="str">
        <f t="shared" si="0"/>
        <v xml:space="preserve">HC -  -   </v>
      </c>
    </row>
    <row r="18" spans="3:3" x14ac:dyDescent="0.25">
      <c r="C18" s="43" t="str">
        <f t="shared" si="0"/>
        <v xml:space="preserve">HC -  -   </v>
      </c>
    </row>
    <row r="19" spans="3:3" x14ac:dyDescent="0.25">
      <c r="C19" s="43" t="str">
        <f t="shared" si="0"/>
        <v xml:space="preserve">HC -  -   </v>
      </c>
    </row>
    <row r="20" spans="3:3" x14ac:dyDescent="0.25">
      <c r="C20" s="43" t="str">
        <f t="shared" si="0"/>
        <v xml:space="preserve">HC -  -   </v>
      </c>
    </row>
    <row r="21" spans="3:3" x14ac:dyDescent="0.25">
      <c r="C21" s="43" t="str">
        <f t="shared" si="0"/>
        <v xml:space="preserve">HC -  -   </v>
      </c>
    </row>
    <row r="22" spans="3:3" x14ac:dyDescent="0.25">
      <c r="C22" s="43" t="str">
        <f t="shared" si="0"/>
        <v xml:space="preserve">HC -  -   </v>
      </c>
    </row>
    <row r="23" spans="3:3" x14ac:dyDescent="0.25">
      <c r="C23" s="43" t="str">
        <f t="shared" si="0"/>
        <v xml:space="preserve">HC -  -   </v>
      </c>
    </row>
    <row r="24" spans="3:3" x14ac:dyDescent="0.25">
      <c r="C24" s="43" t="str">
        <f t="shared" si="0"/>
        <v xml:space="preserve">HC -  -   </v>
      </c>
    </row>
    <row r="25" spans="3:3" x14ac:dyDescent="0.25">
      <c r="C25" s="43" t="str">
        <f t="shared" si="0"/>
        <v xml:space="preserve">HC -  -   </v>
      </c>
    </row>
    <row r="26" spans="3:3" x14ac:dyDescent="0.25">
      <c r="C26" s="43" t="str">
        <f t="shared" si="0"/>
        <v xml:space="preserve">HC -  -   </v>
      </c>
    </row>
    <row r="27" spans="3:3" x14ac:dyDescent="0.25">
      <c r="C27" s="43" t="str">
        <f t="shared" si="0"/>
        <v xml:space="preserve">HC -  -   </v>
      </c>
    </row>
    <row r="28" spans="3:3" x14ac:dyDescent="0.25">
      <c r="C28" s="43" t="str">
        <f t="shared" si="0"/>
        <v xml:space="preserve">HC -  -   </v>
      </c>
    </row>
    <row r="29" spans="3:3" x14ac:dyDescent="0.25">
      <c r="C29" s="43" t="str">
        <f t="shared" si="0"/>
        <v xml:space="preserve">HC -  -   </v>
      </c>
    </row>
  </sheetData>
  <autoFilter ref="A1:P1" xr:uid="{00000000-0009-0000-0000-000002000000}">
    <sortState xmlns:xlrd2="http://schemas.microsoft.com/office/spreadsheetml/2017/richdata2" ref="A2:P3">
      <sortCondition ref="A1"/>
    </sortState>
  </autoFilter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W25"/>
  <sheetViews>
    <sheetView showGridLines="0" zoomScaleNormal="100" workbookViewId="0">
      <pane ySplit="1" topLeftCell="A4" activePane="bottomLeft" state="frozen"/>
      <selection pane="bottomLeft" activeCell="H16" sqref="H16"/>
    </sheetView>
  </sheetViews>
  <sheetFormatPr defaultColWidth="8.7109375" defaultRowHeight="15" x14ac:dyDescent="0.25"/>
  <cols>
    <col min="1" max="1" width="13.140625" style="7" bestFit="1" customWidth="1"/>
    <col min="2" max="2" width="25.7109375" style="9" bestFit="1" customWidth="1"/>
    <col min="3" max="3" width="11.5703125" style="22" bestFit="1" customWidth="1"/>
    <col min="4" max="4" width="11" style="22" bestFit="1" customWidth="1"/>
    <col min="5" max="5" width="14" style="7" bestFit="1" customWidth="1"/>
    <col min="6" max="6" width="10" style="8" bestFit="1" customWidth="1"/>
    <col min="7" max="7" width="6.7109375" style="8" bestFit="1" customWidth="1"/>
    <col min="8" max="8" width="11.28515625" style="7" bestFit="1" customWidth="1"/>
    <col min="9" max="9" width="11.42578125" style="32" bestFit="1" customWidth="1"/>
    <col min="10" max="10" width="11.5703125" style="17" bestFit="1" customWidth="1"/>
    <col min="11" max="11" width="8.28515625" style="7" bestFit="1" customWidth="1"/>
    <col min="12" max="12" width="8.85546875" style="7" bestFit="1" customWidth="1"/>
    <col min="13" max="13" width="11.5703125" style="7" bestFit="1" customWidth="1"/>
    <col min="14" max="14" width="12.28515625" style="16" bestFit="1" customWidth="1"/>
    <col min="15" max="15" width="28.28515625" style="18" bestFit="1" customWidth="1"/>
    <col min="16" max="16" width="10.140625" style="23" bestFit="1" customWidth="1"/>
    <col min="17" max="17" width="14.140625" style="7" bestFit="1" customWidth="1"/>
    <col min="18" max="18" width="49.28515625" style="18" bestFit="1" customWidth="1"/>
    <col min="19" max="19" width="5.5703125" style="7" bestFit="1" customWidth="1"/>
    <col min="20" max="20" width="12.5703125" style="7" bestFit="1" customWidth="1"/>
    <col min="21" max="21" width="5.5703125" style="7" bestFit="1" customWidth="1"/>
    <col min="22" max="22" width="10.85546875" style="7" bestFit="1" customWidth="1"/>
    <col min="23" max="23" width="5.7109375" style="7" bestFit="1" customWidth="1"/>
    <col min="24" max="44" width="8.7109375" style="6" customWidth="1"/>
    <col min="45" max="16384" width="8.7109375" style="6"/>
  </cols>
  <sheetData>
    <row r="1" spans="1:23" s="14" customFormat="1" ht="12" x14ac:dyDescent="0.2">
      <c r="A1" s="10" t="s">
        <v>56</v>
      </c>
      <c r="B1" s="11" t="s">
        <v>57</v>
      </c>
      <c r="C1" s="21" t="s">
        <v>17</v>
      </c>
      <c r="D1" s="21" t="s">
        <v>58</v>
      </c>
      <c r="E1" s="10" t="s">
        <v>59</v>
      </c>
      <c r="F1" s="12" t="s">
        <v>19</v>
      </c>
      <c r="G1" s="12" t="s">
        <v>6</v>
      </c>
      <c r="H1" s="10" t="s">
        <v>60</v>
      </c>
      <c r="I1" s="30" t="s">
        <v>61</v>
      </c>
      <c r="J1" s="13" t="s">
        <v>62</v>
      </c>
      <c r="K1" s="10" t="s">
        <v>63</v>
      </c>
      <c r="L1" s="10" t="s">
        <v>117</v>
      </c>
      <c r="M1" s="10"/>
      <c r="N1" s="15"/>
      <c r="O1" s="10"/>
      <c r="P1" s="19"/>
      <c r="Q1" s="10"/>
      <c r="R1" s="10"/>
      <c r="S1" s="10"/>
      <c r="T1" s="24"/>
      <c r="U1" s="10"/>
      <c r="V1" s="10"/>
      <c r="W1" s="20"/>
    </row>
    <row r="2" spans="1:23" x14ac:dyDescent="0.25">
      <c r="A2" s="25" t="s">
        <v>111</v>
      </c>
      <c r="B2" s="9" t="s">
        <v>64</v>
      </c>
      <c r="C2" s="22" t="s">
        <v>65</v>
      </c>
      <c r="D2" s="22">
        <v>2320717702</v>
      </c>
      <c r="E2" s="7" t="s">
        <v>30</v>
      </c>
      <c r="F2" s="25" t="s">
        <v>38</v>
      </c>
      <c r="G2" s="51">
        <v>553</v>
      </c>
      <c r="H2" s="7">
        <v>964927.64</v>
      </c>
      <c r="I2" s="31"/>
      <c r="J2" s="26"/>
      <c r="K2" s="27"/>
      <c r="L2" s="27" t="s">
        <v>119</v>
      </c>
      <c r="N2" s="28"/>
      <c r="P2" s="22"/>
      <c r="W2" s="29"/>
    </row>
    <row r="3" spans="1:23" x14ac:dyDescent="0.25">
      <c r="A3" s="7" t="s">
        <v>80</v>
      </c>
      <c r="B3" s="9" t="s">
        <v>64</v>
      </c>
      <c r="C3" s="22" t="s">
        <v>81</v>
      </c>
      <c r="D3" s="22">
        <v>2320717789</v>
      </c>
      <c r="E3" s="7" t="s">
        <v>30</v>
      </c>
      <c r="F3" s="8" t="s">
        <v>38</v>
      </c>
      <c r="G3" s="52">
        <v>553</v>
      </c>
      <c r="L3" s="27" t="s">
        <v>118</v>
      </c>
      <c r="N3" s="28"/>
      <c r="P3" s="22"/>
      <c r="W3" s="29"/>
    </row>
    <row r="4" spans="1:23" x14ac:dyDescent="0.25">
      <c r="A4" s="7" t="s">
        <v>107</v>
      </c>
      <c r="B4" s="9" t="s">
        <v>64</v>
      </c>
      <c r="C4" s="22" t="s">
        <v>108</v>
      </c>
      <c r="D4" s="22">
        <v>2320717940</v>
      </c>
      <c r="E4" s="7" t="s">
        <v>30</v>
      </c>
      <c r="F4" s="8" t="s">
        <v>38</v>
      </c>
      <c r="G4" s="52">
        <v>553</v>
      </c>
      <c r="H4" s="7">
        <v>68403.94</v>
      </c>
      <c r="L4" s="27" t="s">
        <v>119</v>
      </c>
      <c r="N4" s="28"/>
      <c r="P4" s="22"/>
      <c r="W4" s="29"/>
    </row>
    <row r="5" spans="1:23" x14ac:dyDescent="0.25">
      <c r="A5" s="7" t="s">
        <v>82</v>
      </c>
      <c r="B5" s="9" t="s">
        <v>64</v>
      </c>
      <c r="C5" s="22" t="s">
        <v>83</v>
      </c>
      <c r="D5" s="22">
        <v>2320717802</v>
      </c>
      <c r="E5" s="7" t="s">
        <v>30</v>
      </c>
      <c r="F5" s="8" t="s">
        <v>51</v>
      </c>
      <c r="G5" s="52">
        <v>553</v>
      </c>
      <c r="H5" s="7">
        <v>151643.60999999999</v>
      </c>
      <c r="L5" s="27" t="s">
        <v>119</v>
      </c>
      <c r="N5" s="28"/>
      <c r="P5" s="22"/>
      <c r="W5" s="29"/>
    </row>
    <row r="6" spans="1:23" x14ac:dyDescent="0.25">
      <c r="A6" s="7" t="s">
        <v>90</v>
      </c>
      <c r="B6" s="9" t="s">
        <v>64</v>
      </c>
      <c r="C6" s="22" t="s">
        <v>91</v>
      </c>
      <c r="D6" s="22">
        <v>2320717703</v>
      </c>
      <c r="E6" s="7" t="s">
        <v>30</v>
      </c>
      <c r="F6" s="8" t="s">
        <v>51</v>
      </c>
      <c r="G6" s="52">
        <v>553</v>
      </c>
      <c r="L6" s="27" t="s">
        <v>118</v>
      </c>
      <c r="N6" s="28"/>
      <c r="P6" s="22"/>
      <c r="W6" s="29"/>
    </row>
    <row r="7" spans="1:23" x14ac:dyDescent="0.25">
      <c r="A7" s="7" t="s">
        <v>86</v>
      </c>
      <c r="B7" s="9" t="s">
        <v>64</v>
      </c>
      <c r="C7" s="22" t="s">
        <v>87</v>
      </c>
      <c r="D7" s="22">
        <v>2320717799</v>
      </c>
      <c r="E7" s="7" t="s">
        <v>30</v>
      </c>
      <c r="F7" s="8" t="s">
        <v>52</v>
      </c>
      <c r="G7" s="52">
        <v>553</v>
      </c>
      <c r="H7" s="7">
        <v>19900.79</v>
      </c>
      <c r="L7" s="27" t="s">
        <v>119</v>
      </c>
      <c r="N7" s="28"/>
      <c r="P7" s="22"/>
      <c r="W7" s="29"/>
    </row>
    <row r="8" spans="1:23" x14ac:dyDescent="0.25">
      <c r="A8" s="7" t="s">
        <v>94</v>
      </c>
      <c r="B8" s="9" t="s">
        <v>64</v>
      </c>
      <c r="C8" s="22" t="s">
        <v>95</v>
      </c>
      <c r="D8" s="22">
        <v>2320717709</v>
      </c>
      <c r="E8" s="7" t="s">
        <v>30</v>
      </c>
      <c r="F8" s="8" t="s">
        <v>52</v>
      </c>
      <c r="G8" s="52">
        <v>553</v>
      </c>
      <c r="L8" s="27" t="s">
        <v>118</v>
      </c>
      <c r="N8" s="28"/>
      <c r="P8" s="22"/>
      <c r="W8" s="29"/>
    </row>
    <row r="9" spans="1:23" x14ac:dyDescent="0.25">
      <c r="A9" s="7" t="s">
        <v>84</v>
      </c>
      <c r="B9" s="9" t="s">
        <v>64</v>
      </c>
      <c r="C9" s="22" t="s">
        <v>85</v>
      </c>
      <c r="D9" s="22">
        <v>2320717943</v>
      </c>
      <c r="E9" s="7" t="s">
        <v>30</v>
      </c>
      <c r="F9" s="8" t="s">
        <v>67</v>
      </c>
      <c r="G9" s="52">
        <v>553</v>
      </c>
      <c r="H9" s="7">
        <v>16668.599999999999</v>
      </c>
      <c r="L9" s="27" t="s">
        <v>119</v>
      </c>
      <c r="N9" s="28"/>
      <c r="P9" s="22"/>
      <c r="W9" s="29"/>
    </row>
    <row r="10" spans="1:23" x14ac:dyDescent="0.25">
      <c r="A10" s="7" t="s">
        <v>101</v>
      </c>
      <c r="B10" s="9" t="s">
        <v>64</v>
      </c>
      <c r="C10" s="22" t="s">
        <v>102</v>
      </c>
      <c r="D10" s="22">
        <v>2320717795</v>
      </c>
      <c r="E10" s="7" t="s">
        <v>30</v>
      </c>
      <c r="F10" s="8" t="s">
        <v>67</v>
      </c>
      <c r="G10" s="52">
        <v>553</v>
      </c>
      <c r="H10" s="7">
        <v>551833.65</v>
      </c>
      <c r="L10" s="27" t="s">
        <v>119</v>
      </c>
      <c r="N10" s="28"/>
      <c r="P10" s="22"/>
      <c r="W10" s="29"/>
    </row>
    <row r="11" spans="1:23" x14ac:dyDescent="0.25">
      <c r="A11" s="7" t="s">
        <v>105</v>
      </c>
      <c r="B11" s="9" t="s">
        <v>64</v>
      </c>
      <c r="C11" s="22" t="s">
        <v>106</v>
      </c>
      <c r="D11" s="22">
        <v>2320717701</v>
      </c>
      <c r="E11" s="7" t="s">
        <v>30</v>
      </c>
      <c r="F11" s="8" t="s">
        <v>67</v>
      </c>
      <c r="G11" s="8" t="s">
        <v>41</v>
      </c>
      <c r="I11" s="32">
        <v>568502.22</v>
      </c>
      <c r="L11" s="27" t="s">
        <v>118</v>
      </c>
      <c r="N11" s="28"/>
      <c r="P11" s="22"/>
      <c r="W11" s="29"/>
    </row>
    <row r="12" spans="1:23" x14ac:dyDescent="0.25">
      <c r="A12" s="7" t="s">
        <v>77</v>
      </c>
      <c r="B12" s="9" t="s">
        <v>64</v>
      </c>
      <c r="C12" s="22" t="s">
        <v>78</v>
      </c>
      <c r="D12" s="22">
        <v>2320717710</v>
      </c>
      <c r="E12" s="7" t="s">
        <v>34</v>
      </c>
      <c r="F12" s="25" t="s">
        <v>38</v>
      </c>
      <c r="G12" s="25" t="s">
        <v>33</v>
      </c>
      <c r="H12" s="7">
        <v>209355.74</v>
      </c>
      <c r="I12" s="31" t="s">
        <v>79</v>
      </c>
      <c r="J12" s="26"/>
      <c r="K12" s="27"/>
      <c r="L12" s="27" t="s">
        <v>119</v>
      </c>
      <c r="N12" s="28"/>
      <c r="P12" s="22"/>
      <c r="W12" s="29"/>
    </row>
    <row r="13" spans="1:23" x14ac:dyDescent="0.25">
      <c r="A13" s="7" t="s">
        <v>92</v>
      </c>
      <c r="B13" s="9" t="s">
        <v>64</v>
      </c>
      <c r="C13" s="22" t="s">
        <v>93</v>
      </c>
      <c r="D13" s="22">
        <v>2320717705</v>
      </c>
      <c r="E13" s="7" t="s">
        <v>34</v>
      </c>
      <c r="F13" s="8" t="s">
        <v>38</v>
      </c>
      <c r="G13" s="8" t="s">
        <v>33</v>
      </c>
      <c r="H13" s="7">
        <v>3031477.41</v>
      </c>
      <c r="L13" s="27" t="s">
        <v>119</v>
      </c>
      <c r="N13" s="28"/>
      <c r="P13" s="22"/>
      <c r="W13" s="29"/>
    </row>
    <row r="14" spans="1:23" x14ac:dyDescent="0.25">
      <c r="A14" s="25" t="s">
        <v>114</v>
      </c>
      <c r="B14" s="9" t="s">
        <v>64</v>
      </c>
      <c r="C14" s="22" t="s">
        <v>100</v>
      </c>
      <c r="D14" s="22">
        <v>2320717788</v>
      </c>
      <c r="E14" s="7" t="s">
        <v>34</v>
      </c>
      <c r="F14" s="8" t="s">
        <v>38</v>
      </c>
      <c r="G14" s="8" t="s">
        <v>33</v>
      </c>
      <c r="I14" s="32">
        <v>3959206.59</v>
      </c>
      <c r="J14" s="17">
        <v>43255.509999999311</v>
      </c>
      <c r="L14" s="27" t="s">
        <v>118</v>
      </c>
      <c r="N14" s="28"/>
      <c r="P14" s="22"/>
      <c r="W14" s="29"/>
    </row>
    <row r="15" spans="1:23" x14ac:dyDescent="0.25">
      <c r="A15" s="7" t="s">
        <v>103</v>
      </c>
      <c r="B15" s="9" t="s">
        <v>64</v>
      </c>
      <c r="C15" s="22" t="s">
        <v>104</v>
      </c>
      <c r="D15" s="22">
        <v>2320717946</v>
      </c>
      <c r="E15" s="7" t="s">
        <v>34</v>
      </c>
      <c r="F15" s="8" t="s">
        <v>38</v>
      </c>
      <c r="G15" s="8" t="s">
        <v>33</v>
      </c>
      <c r="H15" s="7">
        <v>604593.52</v>
      </c>
      <c r="L15" s="27" t="s">
        <v>119</v>
      </c>
      <c r="N15" s="28"/>
      <c r="P15" s="22"/>
      <c r="W15" s="29"/>
    </row>
    <row r="16" spans="1:23" x14ac:dyDescent="0.25">
      <c r="A16" s="7" t="s">
        <v>109</v>
      </c>
      <c r="B16" s="9" t="s">
        <v>64</v>
      </c>
      <c r="C16" s="22" t="s">
        <v>110</v>
      </c>
      <c r="D16" s="22">
        <v>2320717794</v>
      </c>
      <c r="E16" s="7" t="s">
        <v>34</v>
      </c>
      <c r="F16" s="8" t="s">
        <v>38</v>
      </c>
      <c r="G16" s="8" t="s">
        <v>33</v>
      </c>
      <c r="H16" s="7">
        <v>70524.41</v>
      </c>
      <c r="I16" s="32" t="s">
        <v>79</v>
      </c>
      <c r="L16" s="27" t="s">
        <v>119</v>
      </c>
      <c r="N16" s="28"/>
      <c r="P16" s="22"/>
      <c r="W16" s="29"/>
    </row>
    <row r="17" spans="1:23" x14ac:dyDescent="0.25">
      <c r="A17" s="25" t="s">
        <v>112</v>
      </c>
      <c r="B17" s="9" t="s">
        <v>64</v>
      </c>
      <c r="C17" s="22" t="s">
        <v>66</v>
      </c>
      <c r="D17" s="22">
        <v>2320717706</v>
      </c>
      <c r="E17" s="7" t="s">
        <v>34</v>
      </c>
      <c r="F17" s="25" t="s">
        <v>51</v>
      </c>
      <c r="G17" s="25" t="s">
        <v>33</v>
      </c>
      <c r="H17" s="7">
        <v>1047521.91</v>
      </c>
      <c r="I17" s="31"/>
      <c r="J17" s="26"/>
      <c r="K17" s="27"/>
      <c r="L17" s="27" t="s">
        <v>119</v>
      </c>
      <c r="N17" s="28"/>
      <c r="P17" s="22"/>
      <c r="W17" s="29"/>
    </row>
    <row r="18" spans="1:23" x14ac:dyDescent="0.25">
      <c r="A18" s="25" t="s">
        <v>113</v>
      </c>
      <c r="B18" s="9" t="s">
        <v>64</v>
      </c>
      <c r="C18" s="22" t="s">
        <v>68</v>
      </c>
      <c r="D18" s="22">
        <v>2320717790</v>
      </c>
      <c r="E18" s="7" t="s">
        <v>34</v>
      </c>
      <c r="F18" s="25" t="s">
        <v>51</v>
      </c>
      <c r="G18" s="25" t="s">
        <v>33</v>
      </c>
      <c r="I18" s="31">
        <v>1150532.3600000001</v>
      </c>
      <c r="J18" s="26">
        <v>-93196.379999999888</v>
      </c>
      <c r="K18" s="27"/>
      <c r="L18" s="27" t="s">
        <v>118</v>
      </c>
    </row>
    <row r="19" spans="1:23" x14ac:dyDescent="0.25">
      <c r="A19" s="7" t="s">
        <v>88</v>
      </c>
      <c r="B19" s="9" t="s">
        <v>64</v>
      </c>
      <c r="C19" s="22" t="s">
        <v>89</v>
      </c>
      <c r="D19" s="22">
        <v>2320717947</v>
      </c>
      <c r="E19" s="7" t="s">
        <v>34</v>
      </c>
      <c r="F19" s="8" t="s">
        <v>51</v>
      </c>
      <c r="G19" s="8" t="s">
        <v>33</v>
      </c>
      <c r="H19" s="7">
        <v>196206.83</v>
      </c>
      <c r="L19" s="27" t="s">
        <v>119</v>
      </c>
    </row>
    <row r="20" spans="1:23" x14ac:dyDescent="0.25">
      <c r="A20" s="7" t="s">
        <v>69</v>
      </c>
      <c r="B20" s="9" t="s">
        <v>64</v>
      </c>
      <c r="C20" s="22" t="s">
        <v>70</v>
      </c>
      <c r="D20" s="22">
        <v>2320717806</v>
      </c>
      <c r="E20" s="7" t="s">
        <v>34</v>
      </c>
      <c r="F20" s="25" t="s">
        <v>52</v>
      </c>
      <c r="G20" s="25" t="s">
        <v>33</v>
      </c>
      <c r="H20" s="7">
        <v>90807.360000000001</v>
      </c>
      <c r="I20" s="31"/>
      <c r="J20" s="26"/>
      <c r="K20" s="27"/>
      <c r="L20" s="27" t="s">
        <v>119</v>
      </c>
    </row>
    <row r="21" spans="1:23" x14ac:dyDescent="0.25">
      <c r="A21" s="7" t="s">
        <v>71</v>
      </c>
      <c r="B21" s="9" t="s">
        <v>64</v>
      </c>
      <c r="C21" s="22" t="s">
        <v>72</v>
      </c>
      <c r="D21" s="22">
        <v>2320717708</v>
      </c>
      <c r="E21" s="7" t="s">
        <v>34</v>
      </c>
      <c r="F21" s="25" t="s">
        <v>52</v>
      </c>
      <c r="G21" s="25" t="s">
        <v>33</v>
      </c>
      <c r="I21" s="31">
        <v>126595.12</v>
      </c>
      <c r="J21" s="26">
        <v>3720.1199999999953</v>
      </c>
      <c r="K21" s="27"/>
      <c r="L21" s="27" t="s">
        <v>118</v>
      </c>
    </row>
    <row r="22" spans="1:23" x14ac:dyDescent="0.25">
      <c r="A22" s="7" t="s">
        <v>98</v>
      </c>
      <c r="B22" s="9" t="s">
        <v>64</v>
      </c>
      <c r="C22" s="22" t="s">
        <v>99</v>
      </c>
      <c r="D22" s="22">
        <v>2320717951</v>
      </c>
      <c r="E22" s="7" t="s">
        <v>34</v>
      </c>
      <c r="F22" s="8" t="s">
        <v>52</v>
      </c>
      <c r="G22" s="8" t="s">
        <v>33</v>
      </c>
      <c r="H22" s="7">
        <v>32067.64</v>
      </c>
      <c r="L22" s="27" t="s">
        <v>119</v>
      </c>
    </row>
    <row r="23" spans="1:23" x14ac:dyDescent="0.25">
      <c r="A23" s="7" t="s">
        <v>73</v>
      </c>
      <c r="B23" s="9" t="s">
        <v>64</v>
      </c>
      <c r="C23" s="22" t="s">
        <v>74</v>
      </c>
      <c r="D23" s="22">
        <v>2320717704</v>
      </c>
      <c r="E23" s="7" t="s">
        <v>34</v>
      </c>
      <c r="F23" s="25" t="s">
        <v>67</v>
      </c>
      <c r="G23" s="25" t="s">
        <v>33</v>
      </c>
      <c r="H23" s="7">
        <v>1806622.96</v>
      </c>
      <c r="I23" s="31"/>
      <c r="J23" s="26"/>
      <c r="K23" s="27"/>
      <c r="L23" s="27" t="s">
        <v>119</v>
      </c>
    </row>
    <row r="24" spans="1:23" x14ac:dyDescent="0.25">
      <c r="A24" s="7" t="s">
        <v>75</v>
      </c>
      <c r="B24" s="9" t="s">
        <v>64</v>
      </c>
      <c r="C24" s="22" t="s">
        <v>76</v>
      </c>
      <c r="D24" s="22">
        <v>2320717787</v>
      </c>
      <c r="E24" s="7" t="s">
        <v>34</v>
      </c>
      <c r="F24" s="25" t="s">
        <v>67</v>
      </c>
      <c r="G24" s="25" t="s">
        <v>33</v>
      </c>
      <c r="I24" s="31">
        <v>2043033.88</v>
      </c>
      <c r="J24" s="26">
        <v>-80621.229999999981</v>
      </c>
      <c r="K24" s="27"/>
      <c r="L24" s="27" t="s">
        <v>118</v>
      </c>
    </row>
    <row r="25" spans="1:23" x14ac:dyDescent="0.25">
      <c r="A25" s="7" t="s">
        <v>96</v>
      </c>
      <c r="B25" s="9" t="s">
        <v>64</v>
      </c>
      <c r="C25" s="22" t="s">
        <v>97</v>
      </c>
      <c r="D25" s="22">
        <v>2320717942</v>
      </c>
      <c r="E25" s="7" t="s">
        <v>34</v>
      </c>
      <c r="F25" s="8" t="s">
        <v>67</v>
      </c>
      <c r="G25" s="8" t="s">
        <v>33</v>
      </c>
      <c r="H25" s="7">
        <v>317032.15000000002</v>
      </c>
      <c r="L25" s="27" t="s">
        <v>119</v>
      </c>
    </row>
  </sheetData>
  <autoFilter ref="A1:L25" xr:uid="{00000000-0009-0000-0000-00000300000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20"/>
  <sheetViews>
    <sheetView workbookViewId="0">
      <selection activeCell="B5" sqref="B5"/>
    </sheetView>
  </sheetViews>
  <sheetFormatPr defaultRowHeight="15" x14ac:dyDescent="0.25"/>
  <cols>
    <col min="1" max="1" width="19.5703125" bestFit="1" customWidth="1"/>
    <col min="2" max="2" width="20.7109375" style="34" bestFit="1" customWidth="1"/>
  </cols>
  <sheetData>
    <row r="1" spans="1:2" x14ac:dyDescent="0.25">
      <c r="A1" t="s">
        <v>55</v>
      </c>
      <c r="B1" s="34">
        <v>520001006</v>
      </c>
    </row>
    <row r="3" spans="1:2" x14ac:dyDescent="0.25">
      <c r="A3" s="36" t="s">
        <v>46</v>
      </c>
      <c r="B3" s="37" t="s">
        <v>47</v>
      </c>
    </row>
    <row r="4" spans="1:2" x14ac:dyDescent="0.25">
      <c r="A4" t="s">
        <v>30</v>
      </c>
      <c r="B4" s="35" t="s">
        <v>41</v>
      </c>
    </row>
    <row r="5" spans="1:2" x14ac:dyDescent="0.25">
      <c r="A5" t="s">
        <v>31</v>
      </c>
      <c r="B5" s="35" t="s">
        <v>42</v>
      </c>
    </row>
    <row r="6" spans="1:2" x14ac:dyDescent="0.25">
      <c r="A6" t="s">
        <v>32</v>
      </c>
      <c r="B6" s="35" t="s">
        <v>43</v>
      </c>
    </row>
    <row r="7" spans="1:2" x14ac:dyDescent="0.25">
      <c r="A7" t="s">
        <v>48</v>
      </c>
      <c r="B7" s="35" t="s">
        <v>44</v>
      </c>
    </row>
    <row r="8" spans="1:2" x14ac:dyDescent="0.25">
      <c r="A8" t="s">
        <v>34</v>
      </c>
      <c r="B8" s="34" t="s">
        <v>33</v>
      </c>
    </row>
    <row r="9" spans="1:2" x14ac:dyDescent="0.25">
      <c r="A9" t="s">
        <v>35</v>
      </c>
      <c r="B9" s="35" t="s">
        <v>45</v>
      </c>
    </row>
    <row r="12" spans="1:2" x14ac:dyDescent="0.25">
      <c r="A12" s="36" t="s">
        <v>49</v>
      </c>
      <c r="B12" s="37" t="s">
        <v>47</v>
      </c>
    </row>
    <row r="13" spans="1:2" x14ac:dyDescent="0.25">
      <c r="A13" t="s">
        <v>50</v>
      </c>
      <c r="B13" s="34" t="s">
        <v>36</v>
      </c>
    </row>
    <row r="14" spans="1:2" x14ac:dyDescent="0.25">
      <c r="A14" t="s">
        <v>52</v>
      </c>
      <c r="B14" s="34" t="s">
        <v>53</v>
      </c>
    </row>
    <row r="15" spans="1:2" x14ac:dyDescent="0.25">
      <c r="A15" t="s">
        <v>51</v>
      </c>
      <c r="B15" s="34" t="s">
        <v>37</v>
      </c>
    </row>
    <row r="16" spans="1:2" x14ac:dyDescent="0.25">
      <c r="A16" t="s">
        <v>38</v>
      </c>
      <c r="B16" s="34" t="s">
        <v>39</v>
      </c>
    </row>
    <row r="17" spans="1:2" x14ac:dyDescent="0.25">
      <c r="A17" t="s">
        <v>40</v>
      </c>
      <c r="B17" s="35" t="s">
        <v>54</v>
      </c>
    </row>
    <row r="20" spans="1:2" x14ac:dyDescent="0.25">
      <c r="A20" s="3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X39"/>
  <sheetViews>
    <sheetView showGridLines="0" topLeftCell="D1" workbookViewId="0">
      <pane ySplit="1" topLeftCell="A2" activePane="bottomLeft" state="frozen"/>
      <selection pane="bottomLeft" activeCell="K1" sqref="K1"/>
    </sheetView>
  </sheetViews>
  <sheetFormatPr defaultRowHeight="15" x14ac:dyDescent="0.25"/>
  <cols>
    <col min="1" max="1" width="16.7109375" bestFit="1" customWidth="1"/>
    <col min="2" max="2" width="7.5703125" bestFit="1" customWidth="1"/>
    <col min="3" max="3" width="11.5703125" bestFit="1" customWidth="1"/>
    <col min="4" max="4" width="18.5703125" bestFit="1" customWidth="1"/>
    <col min="5" max="5" width="13.28515625" bestFit="1" customWidth="1"/>
    <col min="6" max="6" width="13.5703125" bestFit="1" customWidth="1"/>
    <col min="7" max="7" width="13.28515625" bestFit="1" customWidth="1"/>
    <col min="8" max="8" width="8.7109375" bestFit="1" customWidth="1"/>
    <col min="9" max="9" width="5.5703125" bestFit="1" customWidth="1"/>
    <col min="10" max="10" width="18.5703125" bestFit="1" customWidth="1"/>
    <col min="11" max="11" width="14" bestFit="1" customWidth="1"/>
    <col min="12" max="12" width="9.28515625" bestFit="1" customWidth="1"/>
    <col min="13" max="13" width="10" bestFit="1" customWidth="1"/>
    <col min="14" max="14" width="8.28515625" bestFit="1" customWidth="1"/>
    <col min="15" max="15" width="8.5703125" bestFit="1" customWidth="1"/>
    <col min="16" max="16" width="8.28515625" bestFit="1" customWidth="1"/>
    <col min="17" max="17" width="12" bestFit="1" customWidth="1"/>
    <col min="18" max="18" width="8.42578125" bestFit="1" customWidth="1"/>
    <col min="19" max="19" width="5.5703125" bestFit="1" customWidth="1"/>
    <col min="20" max="20" width="12.7109375" bestFit="1" customWidth="1"/>
    <col min="21" max="21" width="10.7109375" bestFit="1" customWidth="1"/>
    <col min="22" max="22" width="8.7109375" bestFit="1" customWidth="1"/>
    <col min="24" max="24" width="17.7109375" bestFit="1" customWidth="1"/>
  </cols>
  <sheetData>
    <row r="1" spans="1:24" x14ac:dyDescent="0.25">
      <c r="A1" s="1" t="s">
        <v>3</v>
      </c>
      <c r="B1" s="1" t="s">
        <v>5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6</v>
      </c>
      <c r="J1" s="1" t="s">
        <v>13</v>
      </c>
      <c r="K1" s="5" t="s">
        <v>4</v>
      </c>
      <c r="L1" s="5" t="s">
        <v>14</v>
      </c>
      <c r="M1" s="1" t="s">
        <v>15</v>
      </c>
      <c r="N1" s="1" t="s">
        <v>22</v>
      </c>
      <c r="O1" s="1" t="s">
        <v>21</v>
      </c>
      <c r="P1" s="1" t="s">
        <v>17</v>
      </c>
      <c r="Q1" s="1" t="s">
        <v>23</v>
      </c>
      <c r="R1" s="1" t="s">
        <v>19</v>
      </c>
      <c r="S1" s="1" t="s">
        <v>6</v>
      </c>
      <c r="T1" s="1" t="s">
        <v>20</v>
      </c>
      <c r="U1" s="2" t="s">
        <v>16</v>
      </c>
      <c r="V1" s="2" t="s">
        <v>18</v>
      </c>
      <c r="W1" s="2" t="s">
        <v>24</v>
      </c>
      <c r="X1" s="2" t="s">
        <v>25</v>
      </c>
    </row>
    <row r="2" spans="1:24" x14ac:dyDescent="0.25">
      <c r="A2" s="2" t="s">
        <v>26</v>
      </c>
      <c r="B2" s="2">
        <v>505050</v>
      </c>
      <c r="C2" s="4">
        <v>43131</v>
      </c>
      <c r="D2" s="4">
        <v>43132</v>
      </c>
      <c r="E2" s="4">
        <v>43156</v>
      </c>
      <c r="F2" s="2" t="s">
        <v>0</v>
      </c>
      <c r="G2" s="2">
        <v>2500</v>
      </c>
      <c r="H2" s="2" t="s">
        <v>1</v>
      </c>
      <c r="I2" s="3" t="s">
        <v>29</v>
      </c>
      <c r="J2" s="2" t="s">
        <v>2</v>
      </c>
      <c r="K2" s="2">
        <v>3862</v>
      </c>
      <c r="L2" s="2" t="s">
        <v>27</v>
      </c>
      <c r="M2" s="2">
        <v>520001006</v>
      </c>
      <c r="N2" s="2">
        <v>7400</v>
      </c>
      <c r="O2" s="2" t="s">
        <v>28</v>
      </c>
      <c r="P2" s="2">
        <v>2500</v>
      </c>
      <c r="Q2" s="2">
        <v>106600</v>
      </c>
      <c r="R2" s="2">
        <v>100015</v>
      </c>
      <c r="S2" s="3" t="s">
        <v>29</v>
      </c>
      <c r="T2" s="2" t="s">
        <v>27</v>
      </c>
      <c r="U2" s="2">
        <v>1234</v>
      </c>
      <c r="V2" s="2">
        <v>150</v>
      </c>
      <c r="W2" s="2">
        <v>789456</v>
      </c>
      <c r="X2" s="2">
        <v>3862</v>
      </c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ControlPanel</vt:lpstr>
      <vt:lpstr>MM</vt:lpstr>
      <vt:lpstr>FI</vt:lpstr>
      <vt:lpstr>Index</vt:lpstr>
      <vt:lpstr>Code</vt:lpstr>
      <vt:lpstr>INPUT original</vt:lpstr>
    </vt:vector>
  </TitlesOfParts>
  <Company>ExxonMobil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Molnar, Jozsef</dc:creator>
  <cp:lastModifiedBy>rebecca guisgo</cp:lastModifiedBy>
  <dcterms:created xsi:type="dcterms:W3CDTF">2018-01-31T13:30:03Z</dcterms:created>
  <dcterms:modified xsi:type="dcterms:W3CDTF">2024-12-14T16:57:12Z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1455424832</vt:i4>
  </property>
  <property fmtid="{D5CDD505-2E9C-101B-9397-08002B2CF9AE}" pid="3" name="_NewReviewCycle">
    <vt:lpwstr/>
  </property>
  <property fmtid="{D5CDD505-2E9C-101B-9397-08002B2CF9AE}" pid="4" name="_EmailSubject">
    <vt:lpwstr>FILES FOR PORTFOLIO BUILDING</vt:lpwstr>
  </property>
  <property fmtid="{D5CDD505-2E9C-101B-9397-08002B2CF9AE}" pid="5" name="_AuthorEmail">
    <vt:lpwstr>rebecca.guisgo@exxonmobil.com</vt:lpwstr>
  </property>
  <property fmtid="{D5CDD505-2E9C-101B-9397-08002B2CF9AE}" pid="6" name="_AuthorEmailDisplayName">
    <vt:lpwstr>Guisgo, Rebecca</vt:lpwstr>
  </property>
  <property fmtid="{D5CDD505-2E9C-101B-9397-08002B2CF9AE}" pid="7" name="_PreviousAdHocReviewCycleID">
    <vt:i4>-1684974636</vt:i4>
  </property>
  <property fmtid="{D5CDD505-2E9C-101B-9397-08002B2CF9AE}" pid="8" name="_ReviewingToolsShownOnce">
    <vt:lpwstr/>
  </property>
</Properties>
</file>